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/>
  <mc:AlternateContent xmlns:mc="http://schemas.openxmlformats.org/markup-compatibility/2006">
    <mc:Choice Requires="x15">
      <x15ac:absPath xmlns:x15ac="http://schemas.microsoft.com/office/spreadsheetml/2010/11/ac" url="C:\Users\simon\Documents\Travail\Personnel\Squash\Data\"/>
    </mc:Choice>
  </mc:AlternateContent>
  <xr:revisionPtr revIDLastSave="0" documentId="13_ncr:1_{930A7400-F545-4080-BDFC-6FC9469EF7AB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Actions Simon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1" i="1" l="1"/>
  <c r="H2" i="1" l="1"/>
  <c r="G2" i="1"/>
  <c r="I2" i="1" l="1"/>
  <c r="G3" i="1" s="1"/>
  <c r="H3" i="1" l="1"/>
</calcChain>
</file>

<file path=xl/sharedStrings.xml><?xml version="1.0" encoding="utf-8"?>
<sst xmlns="http://schemas.openxmlformats.org/spreadsheetml/2006/main" count="237" uniqueCount="62">
  <si>
    <t>Points</t>
  </si>
  <si>
    <t>Date</t>
  </si>
  <si>
    <t>Type de tournoi</t>
  </si>
  <si>
    <t>Type de points</t>
  </si>
  <si>
    <t>Gagné</t>
  </si>
  <si>
    <t>Perdu</t>
  </si>
  <si>
    <t>Total Gagnés</t>
  </si>
  <si>
    <t>Total Perdus</t>
  </si>
  <si>
    <t>Total Matchs</t>
  </si>
  <si>
    <t>Open</t>
  </si>
  <si>
    <t>Meudon</t>
  </si>
  <si>
    <t>Meudon Place</t>
  </si>
  <si>
    <t>Promotion</t>
  </si>
  <si>
    <t>Fondettes</t>
  </si>
  <si>
    <t>Fondettes Place</t>
  </si>
  <si>
    <t>Vincennes</t>
  </si>
  <si>
    <t>Vincennes Place</t>
  </si>
  <si>
    <t>Tridaknos</t>
  </si>
  <si>
    <t>Pyramides</t>
  </si>
  <si>
    <t>Blois</t>
  </si>
  <si>
    <t>Blois Place</t>
  </si>
  <si>
    <t>Verrieres</t>
  </si>
  <si>
    <t>Verrieres Place</t>
  </si>
  <si>
    <t>Issy</t>
  </si>
  <si>
    <t>Issy Place</t>
  </si>
  <si>
    <t>Avon</t>
  </si>
  <si>
    <t>Avon place</t>
  </si>
  <si>
    <t>Issy place</t>
  </si>
  <si>
    <t>Criterium</t>
  </si>
  <si>
    <t>Ucpa 2</t>
  </si>
  <si>
    <t>Saint Cloud</t>
  </si>
  <si>
    <t>Saint Cloud Place</t>
  </si>
  <si>
    <t>Paris 19</t>
  </si>
  <si>
    <t>Paris 19 Place</t>
  </si>
  <si>
    <t>UCPA Meudon</t>
  </si>
  <si>
    <t>UCPA Meudon Place</t>
  </si>
  <si>
    <t>Savigny</t>
  </si>
  <si>
    <t>Savigny Place</t>
  </si>
  <si>
    <t>3ème Série IdF</t>
  </si>
  <si>
    <t>3ème Série IdF Place</t>
  </si>
  <si>
    <t>Verrières</t>
  </si>
  <si>
    <t>UCPA</t>
  </si>
  <si>
    <t>Verrières Place</t>
  </si>
  <si>
    <t>Squash 95</t>
  </si>
  <si>
    <t>Championnat Ligue</t>
  </si>
  <si>
    <t>Squash 95 Place</t>
  </si>
  <si>
    <t>Puc Place</t>
  </si>
  <si>
    <t>Open Jeu de Paume</t>
  </si>
  <si>
    <t>Open Jeu de Paume Place</t>
  </si>
  <si>
    <t>Open PUC</t>
  </si>
  <si>
    <t>Open PUC Place</t>
  </si>
  <si>
    <t>UCPA 19ème</t>
  </si>
  <si>
    <t>UCPA 19ème Place</t>
  </si>
  <si>
    <t>National Squash 95</t>
  </si>
  <si>
    <t>National Squash 95 Place</t>
  </si>
  <si>
    <t>Open Ilyes</t>
  </si>
  <si>
    <t>Open Ylies</t>
  </si>
  <si>
    <t>PUC</t>
  </si>
  <si>
    <t>Stade Français</t>
  </si>
  <si>
    <t>Stade Français Place</t>
  </si>
  <si>
    <t>Le Mans</t>
  </si>
  <si>
    <t>Le Mans Place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</si>
</sst>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%"/>
  </numFmts>
  <fonts count="7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1"/>
      <name val="Calibri"/>
      <family val="2"/>
    </font>
    <font>
      <sz val="11"/>
      <name val="Calibri"/>
      <family val="2"/>
      <scheme val="minor"/>
    </font>
    <font>
      <sz val="11"/>
      <name val="Calibri (Corps)_x0000_"/>
    </font>
  </fonts>
  <fills count="2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117">
    <xf numFmtId="0" fontId="0" fillId="0" borderId="0" xfId="0"/>
    <xf numFmtId="3" fontId="1" fillId="0" borderId="1" xfId="0" applyNumberFormat="1" applyFont="1" applyBorder="1" applyAlignment="1">
      <alignment horizontal="center" vertical="center"/>
    </xf>
    <xf numFmtId="14" fontId="1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 vertical="center"/>
    </xf>
    <xf numFmtId="3" fontId="2" fillId="0" borderId="1" xfId="0" applyNumberFormat="1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 vertical="center"/>
    </xf>
    <xf numFmtId="164" fontId="2" fillId="0" borderId="2" xfId="0" applyNumberFormat="1" applyFont="1" applyBorder="1" applyAlignment="1">
      <alignment horizontal="center" vertical="center"/>
    </xf>
    <xf numFmtId="3" fontId="2" fillId="0" borderId="2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64" fontId="6" fillId="0" borderId="2" xfId="0" applyNumberFormat="1" applyFont="1" applyBorder="1" applyAlignment="1">
      <alignment horizontal="center" vertical="center"/>
    </xf>
    <xf numFmtId="3" fontId="6" fillId="0" borderId="2" xfId="0" applyNumberFormat="1" applyFont="1" applyBorder="1" applyAlignment="1">
      <alignment horizontal="center" vertical="center"/>
    </xf>
    <xf numFmtId="0" fontId="6" fillId="0" borderId="0" xfId="0" applyFont="1"/>
    <xf numFmtId="3" fontId="2" fillId="2" borderId="1" xfId="0" applyNumberFormat="1" applyFont="1" applyFill="1" applyBorder="1" applyAlignment="1">
      <alignment horizontal="center" vertical="center"/>
    </xf>
    <xf numFmtId="14" fontId="2" fillId="2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3" fontId="2" fillId="3" borderId="1" xfId="0" applyNumberFormat="1" applyFont="1" applyFill="1" applyBorder="1" applyAlignment="1">
      <alignment horizontal="center" vertical="center"/>
    </xf>
    <xf numFmtId="14" fontId="2" fillId="3" borderId="1" xfId="0" applyNumberFormat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3" fontId="2" fillId="4" borderId="1" xfId="0" applyNumberFormat="1" applyFont="1" applyFill="1" applyBorder="1" applyAlignment="1">
      <alignment horizontal="center" vertical="center"/>
    </xf>
    <xf numFmtId="14" fontId="2" fillId="4" borderId="1" xfId="0" applyNumberFormat="1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3" fontId="2" fillId="5" borderId="1" xfId="0" applyNumberFormat="1" applyFont="1" applyFill="1" applyBorder="1" applyAlignment="1">
      <alignment horizontal="center" vertical="center"/>
    </xf>
    <xf numFmtId="14" fontId="2" fillId="5" borderId="1" xfId="0" applyNumberFormat="1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3" fontId="2" fillId="6" borderId="1" xfId="0" applyNumberFormat="1" applyFont="1" applyFill="1" applyBorder="1" applyAlignment="1">
      <alignment horizontal="center" vertical="center"/>
    </xf>
    <xf numFmtId="14" fontId="2" fillId="6" borderId="1" xfId="0" applyNumberFormat="1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3" fontId="2" fillId="7" borderId="1" xfId="0" applyNumberFormat="1" applyFont="1" applyFill="1" applyBorder="1" applyAlignment="1">
      <alignment horizontal="center" vertical="center"/>
    </xf>
    <xf numFmtId="14" fontId="2" fillId="7" borderId="1" xfId="0" applyNumberFormat="1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/>
    </xf>
    <xf numFmtId="3" fontId="2" fillId="8" borderId="1" xfId="0" applyNumberFormat="1" applyFont="1" applyFill="1" applyBorder="1" applyAlignment="1">
      <alignment horizontal="center" vertical="center"/>
    </xf>
    <xf numFmtId="14" fontId="2" fillId="8" borderId="1" xfId="0" applyNumberFormat="1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3" fontId="2" fillId="9" borderId="1" xfId="0" applyNumberFormat="1" applyFont="1" applyFill="1" applyBorder="1" applyAlignment="1">
      <alignment horizontal="center" vertical="center"/>
    </xf>
    <xf numFmtId="14" fontId="2" fillId="9" borderId="1" xfId="0" applyNumberFormat="1" applyFont="1" applyFill="1" applyBorder="1" applyAlignment="1">
      <alignment horizontal="center" vertical="center"/>
    </xf>
    <xf numFmtId="0" fontId="2" fillId="9" borderId="1" xfId="0" applyFont="1" applyFill="1" applyBorder="1" applyAlignment="1">
      <alignment horizontal="center" vertical="center"/>
    </xf>
    <xf numFmtId="3" fontId="2" fillId="10" borderId="1" xfId="0" applyNumberFormat="1" applyFont="1" applyFill="1" applyBorder="1" applyAlignment="1">
      <alignment horizontal="center" vertical="center"/>
    </xf>
    <xf numFmtId="14" fontId="2" fillId="10" borderId="1" xfId="0" applyNumberFormat="1" applyFont="1" applyFill="1" applyBorder="1" applyAlignment="1">
      <alignment horizontal="center" vertical="center"/>
    </xf>
    <xf numFmtId="0" fontId="2" fillId="10" borderId="1" xfId="0" applyFont="1" applyFill="1" applyBorder="1" applyAlignment="1">
      <alignment horizontal="center" vertical="center"/>
    </xf>
    <xf numFmtId="3" fontId="2" fillId="6" borderId="4" xfId="0" applyNumberFormat="1" applyFont="1" applyFill="1" applyBorder="1" applyAlignment="1">
      <alignment horizontal="center" vertical="center"/>
    </xf>
    <xf numFmtId="14" fontId="2" fillId="6" borderId="4" xfId="0" applyNumberFormat="1" applyFont="1" applyFill="1" applyBorder="1" applyAlignment="1">
      <alignment horizontal="center" vertical="center"/>
    </xf>
    <xf numFmtId="0" fontId="2" fillId="6" borderId="4" xfId="0" applyFont="1" applyFill="1" applyBorder="1" applyAlignment="1">
      <alignment horizontal="center" vertical="center"/>
    </xf>
    <xf numFmtId="3" fontId="2" fillId="11" borderId="3" xfId="0" applyNumberFormat="1" applyFont="1" applyFill="1" applyBorder="1" applyAlignment="1">
      <alignment horizontal="center" vertical="center"/>
    </xf>
    <xf numFmtId="14" fontId="2" fillId="11" borderId="3" xfId="0" applyNumberFormat="1" applyFont="1" applyFill="1" applyBorder="1" applyAlignment="1">
      <alignment horizontal="center" vertical="center"/>
    </xf>
    <xf numFmtId="0" fontId="2" fillId="11" borderId="3" xfId="0" applyFont="1" applyFill="1" applyBorder="1" applyAlignment="1">
      <alignment horizontal="center" vertical="center"/>
    </xf>
    <xf numFmtId="3" fontId="2" fillId="12" borderId="3" xfId="0" applyNumberFormat="1" applyFont="1" applyFill="1" applyBorder="1" applyAlignment="1">
      <alignment horizontal="center" vertical="center"/>
    </xf>
    <xf numFmtId="14" fontId="2" fillId="12" borderId="3" xfId="0" applyNumberFormat="1" applyFont="1" applyFill="1" applyBorder="1" applyAlignment="1">
      <alignment horizontal="center" vertical="center"/>
    </xf>
    <xf numFmtId="0" fontId="3" fillId="12" borderId="3" xfId="0" applyFont="1" applyFill="1" applyBorder="1" applyAlignment="1">
      <alignment horizontal="center" vertical="center"/>
    </xf>
    <xf numFmtId="3" fontId="2" fillId="13" borderId="3" xfId="0" applyNumberFormat="1" applyFont="1" applyFill="1" applyBorder="1" applyAlignment="1">
      <alignment horizontal="center" vertical="center"/>
    </xf>
    <xf numFmtId="14" fontId="2" fillId="13" borderId="3" xfId="0" applyNumberFormat="1" applyFont="1" applyFill="1" applyBorder="1" applyAlignment="1">
      <alignment horizontal="center" vertical="center"/>
    </xf>
    <xf numFmtId="0" fontId="3" fillId="13" borderId="3" xfId="0" applyFont="1" applyFill="1" applyBorder="1" applyAlignment="1">
      <alignment horizontal="center" vertical="center"/>
    </xf>
    <xf numFmtId="3" fontId="4" fillId="11" borderId="3" xfId="0" applyNumberFormat="1" applyFont="1" applyFill="1" applyBorder="1" applyAlignment="1">
      <alignment horizontal="center" vertical="center"/>
    </xf>
    <xf numFmtId="14" fontId="4" fillId="11" borderId="3" xfId="0" applyNumberFormat="1" applyFont="1" applyFill="1" applyBorder="1" applyAlignment="1">
      <alignment horizontal="center" vertical="center"/>
    </xf>
    <xf numFmtId="0" fontId="4" fillId="11" borderId="3" xfId="0" applyFont="1" applyFill="1" applyBorder="1" applyAlignment="1">
      <alignment horizontal="center" vertical="center"/>
    </xf>
    <xf numFmtId="3" fontId="4" fillId="2" borderId="3" xfId="0" applyNumberFormat="1" applyFont="1" applyFill="1" applyBorder="1" applyAlignment="1">
      <alignment horizontal="center" vertical="center"/>
    </xf>
    <xf numFmtId="14" fontId="4" fillId="2" borderId="3" xfId="0" applyNumberFormat="1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3" fontId="2" fillId="10" borderId="3" xfId="0" applyNumberFormat="1" applyFont="1" applyFill="1" applyBorder="1" applyAlignment="1">
      <alignment horizontal="center" vertical="center"/>
    </xf>
    <xf numFmtId="14" fontId="2" fillId="10" borderId="3" xfId="0" applyNumberFormat="1" applyFont="1" applyFill="1" applyBorder="1" applyAlignment="1">
      <alignment horizontal="center" vertical="center"/>
    </xf>
    <xf numFmtId="0" fontId="0" fillId="10" borderId="3" xfId="0" applyFill="1" applyBorder="1" applyAlignment="1">
      <alignment horizontal="center" vertical="center"/>
    </xf>
    <xf numFmtId="3" fontId="5" fillId="14" borderId="3" xfId="0" applyNumberFormat="1" applyFont="1" applyFill="1" applyBorder="1" applyAlignment="1">
      <alignment horizontal="center" vertical="center"/>
    </xf>
    <xf numFmtId="14" fontId="5" fillId="14" borderId="3" xfId="0" applyNumberFormat="1" applyFont="1" applyFill="1" applyBorder="1" applyAlignment="1">
      <alignment horizontal="center" vertical="center"/>
    </xf>
    <xf numFmtId="0" fontId="5" fillId="14" borderId="3" xfId="0" applyFont="1" applyFill="1" applyBorder="1" applyAlignment="1">
      <alignment horizontal="center" vertical="center"/>
    </xf>
    <xf numFmtId="3" fontId="2" fillId="15" borderId="3" xfId="0" applyNumberFormat="1" applyFont="1" applyFill="1" applyBorder="1" applyAlignment="1">
      <alignment horizontal="center" vertical="center"/>
    </xf>
    <xf numFmtId="14" fontId="2" fillId="15" borderId="3" xfId="0" applyNumberFormat="1" applyFont="1" applyFill="1" applyBorder="1" applyAlignment="1">
      <alignment horizontal="center" vertical="center"/>
    </xf>
    <xf numFmtId="0" fontId="5" fillId="15" borderId="3" xfId="0" applyFont="1" applyFill="1" applyBorder="1" applyAlignment="1">
      <alignment horizontal="center" vertical="center"/>
    </xf>
    <xf numFmtId="0" fontId="0" fillId="15" borderId="3" xfId="0" applyFill="1" applyBorder="1" applyAlignment="1">
      <alignment horizontal="center" vertical="center"/>
    </xf>
    <xf numFmtId="3" fontId="2" fillId="16" borderId="3" xfId="0" applyNumberFormat="1" applyFont="1" applyFill="1" applyBorder="1" applyAlignment="1">
      <alignment horizontal="center" vertical="center"/>
    </xf>
    <xf numFmtId="14" fontId="2" fillId="16" borderId="3" xfId="0" applyNumberFormat="1" applyFont="1" applyFill="1" applyBorder="1" applyAlignment="1">
      <alignment horizontal="center" vertical="center"/>
    </xf>
    <xf numFmtId="0" fontId="5" fillId="16" borderId="3" xfId="0" applyFont="1" applyFill="1" applyBorder="1" applyAlignment="1">
      <alignment horizontal="center" vertical="center"/>
    </xf>
    <xf numFmtId="0" fontId="0" fillId="16" borderId="3" xfId="0" applyFill="1" applyBorder="1" applyAlignment="1">
      <alignment horizontal="center" vertical="center"/>
    </xf>
    <xf numFmtId="3" fontId="5" fillId="17" borderId="3" xfId="0" applyNumberFormat="1" applyFont="1" applyFill="1" applyBorder="1" applyAlignment="1">
      <alignment horizontal="center" vertical="center"/>
    </xf>
    <xf numFmtId="14" fontId="5" fillId="17" borderId="3" xfId="0" applyNumberFormat="1" applyFont="1" applyFill="1" applyBorder="1" applyAlignment="1">
      <alignment horizontal="center" vertical="center"/>
    </xf>
    <xf numFmtId="0" fontId="5" fillId="17" borderId="3" xfId="0" applyFont="1" applyFill="1" applyBorder="1" applyAlignment="1">
      <alignment horizontal="center" vertical="center"/>
    </xf>
    <xf numFmtId="3" fontId="5" fillId="12" borderId="3" xfId="0" applyNumberFormat="1" applyFont="1" applyFill="1" applyBorder="1" applyAlignment="1">
      <alignment horizontal="center" vertical="center"/>
    </xf>
    <xf numFmtId="14" fontId="5" fillId="12" borderId="3" xfId="0" applyNumberFormat="1" applyFont="1" applyFill="1" applyBorder="1" applyAlignment="1">
      <alignment horizontal="center" vertical="center"/>
    </xf>
    <xf numFmtId="0" fontId="5" fillId="12" borderId="3" xfId="0" applyFont="1" applyFill="1" applyBorder="1" applyAlignment="1">
      <alignment horizontal="center" vertical="center"/>
    </xf>
    <xf numFmtId="3" fontId="6" fillId="15" borderId="3" xfId="0" applyNumberFormat="1" applyFont="1" applyFill="1" applyBorder="1" applyAlignment="1">
      <alignment horizontal="center" vertical="center"/>
    </xf>
    <xf numFmtId="14" fontId="6" fillId="15" borderId="3" xfId="0" applyNumberFormat="1" applyFont="1" applyFill="1" applyBorder="1" applyAlignment="1">
      <alignment horizontal="center" vertical="center"/>
    </xf>
    <xf numFmtId="0" fontId="6" fillId="15" borderId="3" xfId="0" applyFont="1" applyFill="1" applyBorder="1" applyAlignment="1">
      <alignment horizontal="center" vertical="center"/>
    </xf>
    <xf numFmtId="0" fontId="6" fillId="10" borderId="3" xfId="0" applyFont="1" applyFill="1" applyBorder="1" applyAlignment="1">
      <alignment horizontal="center" vertical="center"/>
    </xf>
    <xf numFmtId="3" fontId="0" fillId="18" borderId="3" xfId="0" applyNumberFormat="1" applyFill="1" applyBorder="1" applyAlignment="1">
      <alignment horizontal="center" vertical="center"/>
    </xf>
    <xf numFmtId="14" fontId="0" fillId="18" borderId="3" xfId="0" applyNumberFormat="1" applyFill="1" applyBorder="1" applyAlignment="1">
      <alignment horizontal="center" vertical="center"/>
    </xf>
    <xf numFmtId="0" fontId="0" fillId="18" borderId="3" xfId="0" applyFill="1" applyBorder="1" applyAlignment="1">
      <alignment horizontal="center" vertical="center"/>
    </xf>
    <xf numFmtId="3" fontId="0" fillId="5" borderId="3" xfId="0" applyNumberFormat="1" applyFill="1" applyBorder="1" applyAlignment="1">
      <alignment horizontal="center" vertical="center"/>
    </xf>
    <xf numFmtId="14" fontId="0" fillId="5" borderId="3" xfId="0" applyNumberFormat="1" applyFill="1" applyBorder="1" applyAlignment="1">
      <alignment horizontal="center" vertical="center"/>
    </xf>
    <xf numFmtId="0" fontId="0" fillId="5" borderId="3" xfId="0" applyFill="1" applyBorder="1" applyAlignment="1">
      <alignment horizontal="center" vertical="center"/>
    </xf>
    <xf numFmtId="3" fontId="0" fillId="19" borderId="3" xfId="0" applyNumberFormat="1" applyFill="1" applyBorder="1" applyAlignment="1">
      <alignment horizontal="center" vertical="center"/>
    </xf>
    <xf numFmtId="14" fontId="0" fillId="19" borderId="3" xfId="0" applyNumberFormat="1" applyFill="1" applyBorder="1" applyAlignment="1">
      <alignment horizontal="center" vertical="center"/>
    </xf>
    <xf numFmtId="0" fontId="0" fillId="19" borderId="3" xfId="0" applyFill="1" applyBorder="1" applyAlignment="1">
      <alignment horizontal="center" vertical="center"/>
    </xf>
    <xf numFmtId="3" fontId="0" fillId="11" borderId="3" xfId="0" applyNumberFormat="1" applyFill="1" applyBorder="1" applyAlignment="1">
      <alignment horizontal="center" vertical="center"/>
    </xf>
    <xf numFmtId="14" fontId="0" fillId="11" borderId="3" xfId="0" applyNumberFormat="1" applyFill="1" applyBorder="1" applyAlignment="1">
      <alignment horizontal="center" vertical="center"/>
    </xf>
    <xf numFmtId="0" fontId="0" fillId="11" borderId="3" xfId="0" applyFill="1" applyBorder="1" applyAlignment="1">
      <alignment horizontal="center" vertical="center"/>
    </xf>
    <xf numFmtId="3" fontId="0" fillId="10" borderId="3" xfId="0" applyNumberFormat="1" applyFill="1" applyBorder="1" applyAlignment="1">
      <alignment horizontal="center" vertical="center"/>
    </xf>
    <xf numFmtId="14" fontId="0" fillId="10" borderId="3" xfId="0" applyNumberFormat="1" applyFill="1" applyBorder="1" applyAlignment="1">
      <alignment horizontal="center" vertical="center"/>
    </xf>
    <xf numFmtId="3" fontId="0" fillId="12" borderId="3" xfId="0" applyNumberFormat="1" applyFill="1" applyBorder="1" applyAlignment="1">
      <alignment horizontal="center" vertical="center"/>
    </xf>
    <xf numFmtId="14" fontId="0" fillId="12" borderId="3" xfId="0" applyNumberFormat="1" applyFill="1" applyBorder="1" applyAlignment="1">
      <alignment horizontal="center" vertical="center"/>
    </xf>
    <xf numFmtId="0" fontId="0" fillId="12" borderId="3" xfId="0" applyFill="1" applyBorder="1" applyAlignment="1">
      <alignment horizontal="center" vertical="center"/>
    </xf>
    <xf numFmtId="3" fontId="0" fillId="3" borderId="3" xfId="0" applyNumberFormat="1" applyFill="1" applyBorder="1" applyAlignment="1">
      <alignment horizontal="center" vertical="center"/>
    </xf>
    <xf numFmtId="14" fontId="0" fillId="3" borderId="3" xfId="0" applyNumberForma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3" fontId="5" fillId="3" borderId="3" xfId="0" applyNumberFormat="1" applyFont="1" applyFill="1" applyBorder="1" applyAlignment="1">
      <alignment horizontal="center" vertical="center"/>
    </xf>
    <xf numFmtId="14" fontId="5" fillId="3" borderId="3" xfId="0" applyNumberFormat="1" applyFont="1" applyFill="1" applyBorder="1" applyAlignment="1">
      <alignment horizontal="center" vertical="center"/>
    </xf>
    <xf numFmtId="0" fontId="5" fillId="3" borderId="3" xfId="0" applyFont="1" applyFill="1" applyBorder="1" applyAlignment="1">
      <alignment horizontal="center" vertical="center"/>
    </xf>
    <xf numFmtId="3" fontId="0" fillId="15" borderId="3" xfId="0" applyNumberFormat="1" applyFill="1" applyBorder="1" applyAlignment="1">
      <alignment horizontal="center" vertical="center"/>
    </xf>
    <xf numFmtId="14" fontId="0" fillId="15" borderId="3" xfId="0" applyNumberFormat="1" applyFill="1" applyBorder="1" applyAlignment="1">
      <alignment horizontal="center" vertical="center"/>
    </xf>
    <xf numFmtId="0" fontId="5" fillId="18" borderId="3" xfId="0" applyFont="1" applyFill="1" applyBorder="1" applyAlignment="1">
      <alignment horizontal="center" vertical="center"/>
    </xf>
    <xf numFmtId="3" fontId="0" fillId="2" borderId="3" xfId="0" applyNumberFormat="1" applyFill="1" applyBorder="1" applyAlignment="1">
      <alignment horizontal="center" vertical="center"/>
    </xf>
    <xf numFmtId="14" fontId="0" fillId="2" borderId="3" xfId="0" applyNumberFormat="1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14" borderId="3" xfId="0" applyFill="1" applyBorder="1" applyAlignment="1">
      <alignment horizontal="center" vertical="center"/>
    </xf>
    <xf numFmtId="3" fontId="0" fillId="14" borderId="3" xfId="0" applyNumberFormat="1" applyFill="1" applyBorder="1" applyAlignment="1">
      <alignment horizontal="center" vertical="center"/>
    </xf>
    <xf numFmtId="14" fontId="0" fillId="14" borderId="3" xfId="0" applyNumberForma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I115"/>
  <sheetViews>
    <sheetView tabSelected="1" topLeftCell="A95" workbookViewId="0">
      <selection activeCell="L108" sqref="L108"/>
    </sheetView>
  </sheetViews>
  <sheetFormatPr baseColWidth="10" defaultColWidth="8.77734375" defaultRowHeight="14.4"/>
  <cols>
    <col min="1" max="1" width="13.44140625" style="10" bestFit="1" customWidth="1"/>
    <col min="2" max="2" width="13.44140625" style="11" bestFit="1" customWidth="1"/>
    <col min="3" max="3" width="20.77734375" style="9" customWidth="1"/>
    <col min="4" max="4" width="20.109375" style="9" bestFit="1" customWidth="1"/>
    <col min="5" max="6" width="13.44140625" style="10" bestFit="1" customWidth="1"/>
    <col min="7" max="7" width="11" style="12" bestFit="1" customWidth="1"/>
    <col min="8" max="8" width="10.6640625" style="12" bestFit="1" customWidth="1"/>
    <col min="9" max="9" width="10.77734375" style="10" bestFit="1" customWidth="1"/>
  </cols>
  <sheetData>
    <row r="1" spans="1:9" ht="19.5" customHeight="1">
      <c r="A1" s="1" t="s">
        <v>0</v>
      </c>
      <c r="B1" s="2" t="s">
        <v>1</v>
      </c>
      <c r="C1" s="3" t="s">
        <v>2</v>
      </c>
      <c r="D1" s="3" t="s">
        <v>3</v>
      </c>
      <c r="E1" s="1" t="s">
        <v>4</v>
      </c>
      <c r="F1" s="1" t="s">
        <v>5</v>
      </c>
      <c r="G1" s="4" t="s">
        <v>6</v>
      </c>
      <c r="H1" s="4" t="s">
        <v>7</v>
      </c>
      <c r="I1" s="1" t="s">
        <v>8</v>
      </c>
    </row>
    <row r="2" spans="1:9" ht="19.5" customHeight="1">
      <c r="A2" s="16">
        <v>6277</v>
      </c>
      <c r="B2" s="17">
        <v>45360</v>
      </c>
      <c r="C2" s="18" t="s">
        <v>9</v>
      </c>
      <c r="D2" s="18" t="s">
        <v>10</v>
      </c>
      <c r="E2" s="16">
        <v>2</v>
      </c>
      <c r="F2" s="16">
        <v>2</v>
      </c>
      <c r="G2" s="5">
        <f>SUM(E:E)</f>
        <v>94</v>
      </c>
      <c r="H2" s="5">
        <f>SUM(F:F)</f>
        <v>56</v>
      </c>
      <c r="I2" s="5">
        <f>SUM(G2:H2)</f>
        <v>150</v>
      </c>
    </row>
    <row r="3" spans="1:9" ht="20.25" customHeight="1">
      <c r="A3" s="16">
        <v>7104</v>
      </c>
      <c r="B3" s="17">
        <v>45360</v>
      </c>
      <c r="C3" s="18" t="s">
        <v>9</v>
      </c>
      <c r="D3" s="18" t="s">
        <v>10</v>
      </c>
      <c r="E3" s="16"/>
      <c r="F3" s="16"/>
      <c r="G3" s="6">
        <f>G2/I2</f>
        <v>0.62666666666666671</v>
      </c>
      <c r="H3" s="6">
        <f>H2/I2</f>
        <v>0.37333333333333335</v>
      </c>
      <c r="I3" s="5"/>
    </row>
    <row r="4" spans="1:9" ht="19.5" customHeight="1">
      <c r="A4" s="16">
        <v>6332</v>
      </c>
      <c r="B4" s="17">
        <v>45360</v>
      </c>
      <c r="C4" s="18" t="s">
        <v>9</v>
      </c>
      <c r="D4" s="18" t="s">
        <v>11</v>
      </c>
      <c r="E4" s="16"/>
      <c r="F4" s="16"/>
      <c r="G4" s="7"/>
      <c r="H4" s="7"/>
      <c r="I4" s="8"/>
    </row>
    <row r="5" spans="1:9" ht="19.5" customHeight="1">
      <c r="A5" s="19">
        <v>5971</v>
      </c>
      <c r="B5" s="20">
        <v>45371</v>
      </c>
      <c r="C5" s="21" t="s">
        <v>12</v>
      </c>
      <c r="D5" s="21" t="s">
        <v>10</v>
      </c>
      <c r="E5" s="19">
        <v>2</v>
      </c>
      <c r="F5" s="19">
        <v>1</v>
      </c>
      <c r="G5" s="7"/>
      <c r="H5" s="7"/>
      <c r="I5" s="8"/>
    </row>
    <row r="6" spans="1:9" ht="19.5" customHeight="1">
      <c r="A6" s="19">
        <v>7104</v>
      </c>
      <c r="B6" s="20">
        <v>45371</v>
      </c>
      <c r="C6" s="21" t="s">
        <v>12</v>
      </c>
      <c r="D6" s="21" t="s">
        <v>10</v>
      </c>
      <c r="E6" s="19"/>
      <c r="F6" s="19"/>
      <c r="G6" s="7"/>
      <c r="H6" s="7"/>
      <c r="I6" s="8"/>
    </row>
    <row r="7" spans="1:9" ht="19.5" customHeight="1">
      <c r="A7" s="19">
        <v>6483</v>
      </c>
      <c r="B7" s="20">
        <v>45371</v>
      </c>
      <c r="C7" s="21" t="s">
        <v>12</v>
      </c>
      <c r="D7" s="21" t="s">
        <v>11</v>
      </c>
      <c r="E7" s="19"/>
      <c r="F7" s="19"/>
      <c r="G7" s="7"/>
      <c r="H7" s="7"/>
      <c r="I7" s="8"/>
    </row>
    <row r="8" spans="1:9" ht="19.5" customHeight="1">
      <c r="A8" s="22">
        <v>4919</v>
      </c>
      <c r="B8" s="23">
        <v>45395</v>
      </c>
      <c r="C8" s="24" t="s">
        <v>9</v>
      </c>
      <c r="D8" s="24" t="s">
        <v>13</v>
      </c>
      <c r="E8" s="22">
        <v>1</v>
      </c>
      <c r="F8" s="22">
        <v>1</v>
      </c>
      <c r="G8" s="7"/>
      <c r="H8" s="7"/>
      <c r="I8" s="8"/>
    </row>
    <row r="9" spans="1:9" ht="19.5" customHeight="1">
      <c r="A9" s="22">
        <v>7191</v>
      </c>
      <c r="B9" s="23">
        <v>45395</v>
      </c>
      <c r="C9" s="24" t="s">
        <v>9</v>
      </c>
      <c r="D9" s="24" t="s">
        <v>14</v>
      </c>
      <c r="E9" s="22"/>
      <c r="F9" s="22"/>
      <c r="G9" s="7"/>
      <c r="H9" s="7"/>
      <c r="I9" s="8"/>
    </row>
    <row r="10" spans="1:9" ht="19.5" customHeight="1">
      <c r="A10" s="25">
        <v>5564</v>
      </c>
      <c r="B10" s="26">
        <v>45406</v>
      </c>
      <c r="C10" s="27" t="s">
        <v>12</v>
      </c>
      <c r="D10" s="27" t="s">
        <v>10</v>
      </c>
      <c r="E10" s="25">
        <v>3</v>
      </c>
      <c r="F10" s="25">
        <v>0</v>
      </c>
      <c r="G10" s="7"/>
      <c r="H10" s="7"/>
      <c r="I10" s="8"/>
    </row>
    <row r="11" spans="1:9" ht="19.5" customHeight="1">
      <c r="A11" s="25">
        <v>7191</v>
      </c>
      <c r="B11" s="26">
        <v>45406</v>
      </c>
      <c r="C11" s="27" t="s">
        <v>12</v>
      </c>
      <c r="D11" s="27" t="s">
        <v>10</v>
      </c>
      <c r="E11" s="25"/>
      <c r="F11" s="25"/>
      <c r="G11" s="7"/>
      <c r="H11" s="7"/>
      <c r="I11" s="8"/>
    </row>
    <row r="12" spans="1:9" ht="19.5" customHeight="1">
      <c r="A12" s="25">
        <v>7191</v>
      </c>
      <c r="B12" s="26">
        <v>45406</v>
      </c>
      <c r="C12" s="27" t="s">
        <v>12</v>
      </c>
      <c r="D12" s="27" t="s">
        <v>10</v>
      </c>
      <c r="E12" s="25"/>
      <c r="F12" s="25"/>
      <c r="G12" s="7"/>
      <c r="H12" s="7"/>
      <c r="I12" s="8"/>
    </row>
    <row r="13" spans="1:9" ht="19.5" customHeight="1">
      <c r="A13" s="25">
        <v>5564</v>
      </c>
      <c r="B13" s="26">
        <v>45406</v>
      </c>
      <c r="C13" s="27" t="s">
        <v>12</v>
      </c>
      <c r="D13" s="27" t="s">
        <v>11</v>
      </c>
      <c r="E13" s="25"/>
      <c r="F13" s="25"/>
      <c r="G13" s="7"/>
      <c r="H13" s="7"/>
      <c r="I13" s="8"/>
    </row>
    <row r="14" spans="1:9" ht="19.5" customHeight="1">
      <c r="A14" s="28">
        <v>6639</v>
      </c>
      <c r="B14" s="29">
        <v>45416</v>
      </c>
      <c r="C14" s="30" t="s">
        <v>9</v>
      </c>
      <c r="D14" s="30" t="s">
        <v>15</v>
      </c>
      <c r="E14" s="28">
        <v>3</v>
      </c>
      <c r="F14" s="28">
        <v>1</v>
      </c>
      <c r="G14" s="7"/>
      <c r="H14" s="7"/>
      <c r="I14" s="8"/>
    </row>
    <row r="15" spans="1:9" ht="19.5" customHeight="1">
      <c r="A15" s="28">
        <v>7191</v>
      </c>
      <c r="B15" s="29">
        <v>45416</v>
      </c>
      <c r="C15" s="30" t="s">
        <v>9</v>
      </c>
      <c r="D15" s="30" t="s">
        <v>15</v>
      </c>
      <c r="E15" s="28"/>
      <c r="F15" s="28"/>
      <c r="G15" s="7"/>
      <c r="H15" s="7"/>
      <c r="I15" s="8"/>
    </row>
    <row r="16" spans="1:9" ht="19.5" customHeight="1">
      <c r="A16" s="28">
        <v>7155</v>
      </c>
      <c r="B16" s="29">
        <v>45416</v>
      </c>
      <c r="C16" s="30" t="s">
        <v>9</v>
      </c>
      <c r="D16" s="30" t="s">
        <v>15</v>
      </c>
      <c r="E16" s="28"/>
      <c r="F16" s="28"/>
      <c r="G16" s="7"/>
      <c r="H16" s="7"/>
      <c r="I16" s="8"/>
    </row>
    <row r="17" spans="1:9" ht="19.5" customHeight="1">
      <c r="A17" s="28">
        <v>4213</v>
      </c>
      <c r="B17" s="29">
        <v>45416</v>
      </c>
      <c r="C17" s="30" t="s">
        <v>9</v>
      </c>
      <c r="D17" s="30" t="s">
        <v>16</v>
      </c>
      <c r="E17" s="28"/>
      <c r="F17" s="28"/>
      <c r="G17" s="7"/>
      <c r="H17" s="7"/>
      <c r="I17" s="8"/>
    </row>
    <row r="18" spans="1:9" ht="19.5" customHeight="1">
      <c r="A18" s="31">
        <v>1802</v>
      </c>
      <c r="B18" s="32">
        <v>45427</v>
      </c>
      <c r="C18" s="33" t="s">
        <v>17</v>
      </c>
      <c r="D18" s="33" t="s">
        <v>18</v>
      </c>
      <c r="E18" s="31">
        <v>2</v>
      </c>
      <c r="F18" s="31">
        <v>1</v>
      </c>
      <c r="G18" s="7"/>
      <c r="H18" s="7"/>
      <c r="I18" s="8"/>
    </row>
    <row r="19" spans="1:9" ht="19.5" customHeight="1">
      <c r="A19" s="19">
        <v>3347</v>
      </c>
      <c r="B19" s="20">
        <v>45444</v>
      </c>
      <c r="C19" s="21" t="s">
        <v>9</v>
      </c>
      <c r="D19" s="21" t="s">
        <v>19</v>
      </c>
      <c r="E19" s="19">
        <v>3</v>
      </c>
      <c r="F19" s="19">
        <v>3</v>
      </c>
      <c r="G19" s="7"/>
      <c r="H19" s="7"/>
      <c r="I19" s="8"/>
    </row>
    <row r="20" spans="1:9" ht="19.5" customHeight="1">
      <c r="A20" s="19">
        <v>2298</v>
      </c>
      <c r="B20" s="20">
        <v>45444</v>
      </c>
      <c r="C20" s="21" t="s">
        <v>9</v>
      </c>
      <c r="D20" s="21" t="s">
        <v>19</v>
      </c>
      <c r="E20" s="19"/>
      <c r="F20" s="19"/>
      <c r="G20" s="7"/>
      <c r="H20" s="7"/>
      <c r="I20" s="8"/>
    </row>
    <row r="21" spans="1:9" ht="19.5" customHeight="1">
      <c r="A21" s="19">
        <v>3293</v>
      </c>
      <c r="B21" s="20">
        <v>45444</v>
      </c>
      <c r="C21" s="21" t="s">
        <v>9</v>
      </c>
      <c r="D21" s="21" t="s">
        <v>19</v>
      </c>
      <c r="E21" s="19"/>
      <c r="F21" s="19"/>
      <c r="G21" s="7"/>
      <c r="H21" s="7"/>
      <c r="I21" s="8"/>
    </row>
    <row r="22" spans="1:9" ht="19.5" customHeight="1">
      <c r="A22" s="19">
        <v>2082</v>
      </c>
      <c r="B22" s="20">
        <v>45444</v>
      </c>
      <c r="C22" s="21" t="s">
        <v>9</v>
      </c>
      <c r="D22" s="21" t="s">
        <v>20</v>
      </c>
      <c r="E22" s="19"/>
      <c r="F22" s="19"/>
      <c r="G22" s="7"/>
      <c r="H22" s="7"/>
      <c r="I22" s="8"/>
    </row>
    <row r="23" spans="1:9" ht="19.5" customHeight="1">
      <c r="A23" s="31">
        <v>5063</v>
      </c>
      <c r="B23" s="32">
        <v>45448</v>
      </c>
      <c r="C23" s="33" t="s">
        <v>17</v>
      </c>
      <c r="D23" s="33" t="s">
        <v>18</v>
      </c>
      <c r="E23" s="31"/>
      <c r="F23" s="31"/>
      <c r="G23" s="7"/>
      <c r="H23" s="7"/>
      <c r="I23" s="8"/>
    </row>
    <row r="24" spans="1:9" ht="19.5" customHeight="1">
      <c r="A24" s="34">
        <v>2910</v>
      </c>
      <c r="B24" s="35">
        <v>45451</v>
      </c>
      <c r="C24" s="36" t="s">
        <v>9</v>
      </c>
      <c r="D24" s="36" t="s">
        <v>21</v>
      </c>
      <c r="E24" s="34">
        <v>3</v>
      </c>
      <c r="F24" s="34">
        <v>1</v>
      </c>
      <c r="G24" s="7"/>
      <c r="H24" s="7"/>
      <c r="I24" s="8"/>
    </row>
    <row r="25" spans="1:9" ht="19.05" customHeight="1">
      <c r="A25" s="34">
        <v>2484</v>
      </c>
      <c r="B25" s="35">
        <v>45451</v>
      </c>
      <c r="C25" s="36" t="s">
        <v>9</v>
      </c>
      <c r="D25" s="36" t="s">
        <v>21</v>
      </c>
      <c r="E25" s="34"/>
      <c r="F25" s="34"/>
      <c r="G25" s="7"/>
      <c r="H25" s="7"/>
      <c r="I25" s="8"/>
    </row>
    <row r="26" spans="1:9" ht="19.05" customHeight="1">
      <c r="A26" s="34">
        <v>3071</v>
      </c>
      <c r="B26" s="35">
        <v>45451</v>
      </c>
      <c r="C26" s="36" t="s">
        <v>9</v>
      </c>
      <c r="D26" s="36" t="s">
        <v>21</v>
      </c>
      <c r="E26" s="34"/>
      <c r="F26" s="34"/>
      <c r="G26" s="7"/>
      <c r="H26" s="7"/>
      <c r="I26" s="8"/>
    </row>
    <row r="27" spans="1:9" ht="19.05" customHeight="1">
      <c r="A27" s="34">
        <v>2687</v>
      </c>
      <c r="B27" s="35">
        <v>45451</v>
      </c>
      <c r="C27" s="36" t="s">
        <v>9</v>
      </c>
      <c r="D27" s="36" t="s">
        <v>22</v>
      </c>
      <c r="E27" s="34"/>
      <c r="F27" s="34"/>
      <c r="G27" s="7"/>
      <c r="H27" s="7"/>
      <c r="I27" s="8"/>
    </row>
    <row r="28" spans="1:9" ht="19.05" customHeight="1">
      <c r="A28" s="25">
        <v>2709</v>
      </c>
      <c r="B28" s="26">
        <v>45465</v>
      </c>
      <c r="C28" s="27" t="s">
        <v>9</v>
      </c>
      <c r="D28" s="27" t="s">
        <v>23</v>
      </c>
      <c r="E28" s="25">
        <v>3</v>
      </c>
      <c r="F28" s="25">
        <v>1</v>
      </c>
      <c r="G28" s="7"/>
      <c r="H28" s="7"/>
      <c r="I28" s="8"/>
    </row>
    <row r="29" spans="1:9" ht="19.05" customHeight="1">
      <c r="A29" s="25">
        <v>3457</v>
      </c>
      <c r="B29" s="26">
        <v>45465</v>
      </c>
      <c r="C29" s="27" t="s">
        <v>9</v>
      </c>
      <c r="D29" s="27" t="s">
        <v>23</v>
      </c>
      <c r="E29" s="25"/>
      <c r="F29" s="25"/>
      <c r="G29" s="7"/>
      <c r="H29" s="7"/>
      <c r="I29" s="8"/>
    </row>
    <row r="30" spans="1:9" ht="19.05" customHeight="1">
      <c r="A30" s="25">
        <v>4288</v>
      </c>
      <c r="B30" s="26">
        <v>45465</v>
      </c>
      <c r="C30" s="27" t="s">
        <v>9</v>
      </c>
      <c r="D30" s="27" t="s">
        <v>23</v>
      </c>
      <c r="E30" s="25"/>
      <c r="F30" s="25"/>
      <c r="G30" s="7"/>
      <c r="H30" s="7"/>
      <c r="I30" s="8"/>
    </row>
    <row r="31" spans="1:9" ht="19.05" customHeight="1">
      <c r="A31" s="25">
        <v>3457</v>
      </c>
      <c r="B31" s="26">
        <v>45465</v>
      </c>
      <c r="C31" s="27" t="s">
        <v>9</v>
      </c>
      <c r="D31" s="27" t="s">
        <v>24</v>
      </c>
      <c r="E31" s="25"/>
      <c r="F31" s="25"/>
      <c r="G31" s="7"/>
      <c r="H31" s="7"/>
      <c r="I31" s="8"/>
    </row>
    <row r="32" spans="1:9" ht="19.05" customHeight="1">
      <c r="A32" s="37">
        <v>3480</v>
      </c>
      <c r="B32" s="38">
        <v>45468</v>
      </c>
      <c r="C32" s="39" t="s">
        <v>12</v>
      </c>
      <c r="D32" s="39" t="s">
        <v>10</v>
      </c>
      <c r="E32" s="37">
        <v>2</v>
      </c>
      <c r="F32" s="37">
        <v>1</v>
      </c>
      <c r="G32" s="7"/>
      <c r="H32" s="7"/>
      <c r="I32" s="8"/>
    </row>
    <row r="33" spans="1:9" ht="19.05" customHeight="1">
      <c r="A33" s="37">
        <v>2169</v>
      </c>
      <c r="B33" s="38">
        <v>45468</v>
      </c>
      <c r="C33" s="39" t="s">
        <v>12</v>
      </c>
      <c r="D33" s="39" t="s">
        <v>10</v>
      </c>
      <c r="E33" s="37"/>
      <c r="F33" s="37"/>
      <c r="G33" s="7"/>
      <c r="H33" s="7"/>
      <c r="I33" s="8"/>
    </row>
    <row r="34" spans="1:9" ht="19.05" customHeight="1">
      <c r="A34" s="37">
        <v>2184</v>
      </c>
      <c r="B34" s="38">
        <v>45468</v>
      </c>
      <c r="C34" s="39" t="s">
        <v>12</v>
      </c>
      <c r="D34" s="39" t="s">
        <v>11</v>
      </c>
      <c r="E34" s="37"/>
      <c r="F34" s="37"/>
      <c r="G34" s="7"/>
      <c r="H34" s="7"/>
      <c r="I34" s="8"/>
    </row>
    <row r="35" spans="1:9" ht="19.5" customHeight="1">
      <c r="A35" s="22">
        <v>4288</v>
      </c>
      <c r="B35" s="23">
        <v>45472</v>
      </c>
      <c r="C35" s="24" t="s">
        <v>9</v>
      </c>
      <c r="D35" s="24" t="s">
        <v>21</v>
      </c>
      <c r="E35" s="22">
        <v>2</v>
      </c>
      <c r="F35" s="22">
        <v>1</v>
      </c>
      <c r="G35" s="7"/>
      <c r="H35" s="7"/>
      <c r="I35" s="8"/>
    </row>
    <row r="36" spans="1:9" ht="19.5" customHeight="1">
      <c r="A36" s="22">
        <v>3763</v>
      </c>
      <c r="B36" s="23">
        <v>45472</v>
      </c>
      <c r="C36" s="24" t="s">
        <v>9</v>
      </c>
      <c r="D36" s="24" t="s">
        <v>21</v>
      </c>
      <c r="E36" s="22"/>
      <c r="F36" s="22"/>
      <c r="G36" s="7"/>
      <c r="H36" s="7"/>
      <c r="I36" s="8"/>
    </row>
    <row r="37" spans="1:9" ht="19.5" customHeight="1">
      <c r="A37" s="22">
        <v>4288</v>
      </c>
      <c r="B37" s="23">
        <v>45472</v>
      </c>
      <c r="C37" s="24" t="s">
        <v>9</v>
      </c>
      <c r="D37" s="24" t="s">
        <v>22</v>
      </c>
      <c r="E37" s="22"/>
      <c r="F37" s="22"/>
      <c r="G37" s="7"/>
      <c r="H37" s="7"/>
      <c r="I37" s="8"/>
    </row>
    <row r="38" spans="1:9" ht="19.5" customHeight="1">
      <c r="A38" s="40">
        <v>2015</v>
      </c>
      <c r="B38" s="41">
        <v>45478</v>
      </c>
      <c r="C38" s="42" t="s">
        <v>9</v>
      </c>
      <c r="D38" s="42" t="s">
        <v>15</v>
      </c>
      <c r="E38" s="40">
        <v>3</v>
      </c>
      <c r="F38" s="40">
        <v>2</v>
      </c>
      <c r="G38" s="7"/>
      <c r="H38" s="7"/>
      <c r="I38" s="8"/>
    </row>
    <row r="39" spans="1:9" ht="19.5" customHeight="1">
      <c r="A39" s="40">
        <v>1814</v>
      </c>
      <c r="B39" s="41">
        <v>45478</v>
      </c>
      <c r="C39" s="42" t="s">
        <v>9</v>
      </c>
      <c r="D39" s="42" t="s">
        <v>15</v>
      </c>
      <c r="E39" s="40"/>
      <c r="F39" s="40"/>
      <c r="G39" s="7"/>
      <c r="H39" s="7"/>
      <c r="I39" s="8"/>
    </row>
    <row r="40" spans="1:9" ht="19.5" customHeight="1">
      <c r="A40" s="40">
        <v>1829</v>
      </c>
      <c r="B40" s="41">
        <v>45478</v>
      </c>
      <c r="C40" s="42" t="s">
        <v>9</v>
      </c>
      <c r="D40" s="42" t="s">
        <v>16</v>
      </c>
      <c r="E40" s="40"/>
      <c r="F40" s="40"/>
      <c r="G40" s="7"/>
      <c r="H40" s="7"/>
      <c r="I40" s="8"/>
    </row>
    <row r="41" spans="1:9" ht="19.5" customHeight="1">
      <c r="A41" s="28">
        <v>1387</v>
      </c>
      <c r="B41" s="29">
        <v>45535</v>
      </c>
      <c r="C41" s="30" t="s">
        <v>9</v>
      </c>
      <c r="D41" s="30" t="s">
        <v>25</v>
      </c>
      <c r="E41" s="28">
        <v>3</v>
      </c>
      <c r="F41" s="28">
        <v>2</v>
      </c>
      <c r="G41" s="7"/>
      <c r="H41" s="7"/>
      <c r="I41" s="8"/>
    </row>
    <row r="42" spans="1:9" ht="19.5" customHeight="1">
      <c r="A42" s="28">
        <v>1321</v>
      </c>
      <c r="B42" s="29">
        <v>45536</v>
      </c>
      <c r="C42" s="30" t="s">
        <v>9</v>
      </c>
      <c r="D42" s="30" t="s">
        <v>25</v>
      </c>
      <c r="E42" s="28"/>
      <c r="F42" s="28"/>
      <c r="G42" s="7"/>
      <c r="H42" s="7"/>
      <c r="I42" s="8"/>
    </row>
    <row r="43" spans="1:9" ht="19.5" customHeight="1">
      <c r="A43" s="28">
        <v>1772</v>
      </c>
      <c r="B43" s="29">
        <v>45536</v>
      </c>
      <c r="C43" s="30" t="s">
        <v>9</v>
      </c>
      <c r="D43" s="30" t="s">
        <v>25</v>
      </c>
      <c r="E43" s="28"/>
      <c r="F43" s="28"/>
      <c r="G43" s="7"/>
      <c r="H43" s="7"/>
      <c r="I43" s="8"/>
    </row>
    <row r="44" spans="1:9" ht="20.25" customHeight="1">
      <c r="A44" s="43">
        <v>1280</v>
      </c>
      <c r="B44" s="44">
        <v>45536</v>
      </c>
      <c r="C44" s="45" t="s">
        <v>9</v>
      </c>
      <c r="D44" s="45" t="s">
        <v>26</v>
      </c>
      <c r="E44" s="43"/>
      <c r="F44" s="43"/>
      <c r="G44" s="7"/>
      <c r="H44" s="7"/>
      <c r="I44" s="8"/>
    </row>
    <row r="45" spans="1:9" ht="20.25" customHeight="1">
      <c r="A45" s="46">
        <v>2081</v>
      </c>
      <c r="B45" s="47">
        <v>45571</v>
      </c>
      <c r="C45" s="48" t="s">
        <v>9</v>
      </c>
      <c r="D45" s="48" t="s">
        <v>32</v>
      </c>
      <c r="E45" s="46">
        <v>2</v>
      </c>
      <c r="F45" s="46">
        <v>2</v>
      </c>
      <c r="G45" s="7"/>
      <c r="H45" s="7"/>
      <c r="I45" s="8"/>
    </row>
    <row r="46" spans="1:9" ht="20.25" customHeight="1">
      <c r="A46" s="46">
        <v>2049</v>
      </c>
      <c r="B46" s="47">
        <v>45571</v>
      </c>
      <c r="C46" s="48" t="s">
        <v>9</v>
      </c>
      <c r="D46" s="48" t="s">
        <v>33</v>
      </c>
      <c r="E46" s="46"/>
      <c r="F46" s="46"/>
      <c r="G46" s="7"/>
      <c r="H46" s="7"/>
      <c r="I46" s="8"/>
    </row>
    <row r="47" spans="1:9" ht="19.5" customHeight="1">
      <c r="A47" s="49">
        <v>2081</v>
      </c>
      <c r="B47" s="50">
        <v>45576</v>
      </c>
      <c r="C47" s="51" t="s">
        <v>28</v>
      </c>
      <c r="D47" s="51" t="s">
        <v>29</v>
      </c>
      <c r="E47" s="49">
        <v>1</v>
      </c>
      <c r="F47" s="49">
        <v>0</v>
      </c>
      <c r="G47" s="7"/>
      <c r="H47" s="7"/>
      <c r="I47" s="8"/>
    </row>
    <row r="48" spans="1:9" ht="19.5" customHeight="1">
      <c r="A48" s="52">
        <v>1296</v>
      </c>
      <c r="B48" s="53">
        <v>45578</v>
      </c>
      <c r="C48" s="54" t="s">
        <v>9</v>
      </c>
      <c r="D48" s="54" t="s">
        <v>23</v>
      </c>
      <c r="E48" s="52">
        <v>2</v>
      </c>
      <c r="F48" s="52">
        <v>2</v>
      </c>
      <c r="G48" s="7"/>
      <c r="H48" s="7"/>
      <c r="I48" s="8"/>
    </row>
    <row r="49" spans="1:9" ht="19.5" customHeight="1">
      <c r="A49" s="52">
        <v>2049</v>
      </c>
      <c r="B49" s="53">
        <v>45578</v>
      </c>
      <c r="C49" s="54" t="s">
        <v>9</v>
      </c>
      <c r="D49" s="54" t="s">
        <v>23</v>
      </c>
      <c r="E49" s="52"/>
      <c r="F49" s="52"/>
      <c r="G49" s="7"/>
      <c r="H49" s="7"/>
      <c r="I49" s="8"/>
    </row>
    <row r="50" spans="1:9" ht="19.5" customHeight="1">
      <c r="A50" s="52">
        <v>1676</v>
      </c>
      <c r="B50" s="53">
        <v>45578</v>
      </c>
      <c r="C50" s="54" t="s">
        <v>9</v>
      </c>
      <c r="D50" s="54" t="s">
        <v>27</v>
      </c>
      <c r="E50" s="52"/>
      <c r="F50" s="52"/>
      <c r="G50" s="7"/>
      <c r="H50" s="7"/>
      <c r="I50" s="8"/>
    </row>
    <row r="51" spans="1:9" ht="19.5" customHeight="1">
      <c r="A51" s="55">
        <v>2081</v>
      </c>
      <c r="B51" s="56">
        <v>45591</v>
      </c>
      <c r="C51" s="57" t="s">
        <v>9</v>
      </c>
      <c r="D51" s="57" t="s">
        <v>15</v>
      </c>
      <c r="E51" s="55">
        <v>4</v>
      </c>
      <c r="F51" s="55">
        <v>0</v>
      </c>
      <c r="G51" s="7"/>
      <c r="H51" s="7"/>
      <c r="I51" s="8"/>
    </row>
    <row r="52" spans="1:9" ht="19.5" customHeight="1">
      <c r="A52" s="55">
        <v>1970</v>
      </c>
      <c r="B52" s="56">
        <v>45594</v>
      </c>
      <c r="C52" s="57" t="s">
        <v>9</v>
      </c>
      <c r="D52" s="57" t="s">
        <v>16</v>
      </c>
      <c r="E52" s="55"/>
      <c r="F52" s="55"/>
      <c r="G52" s="7"/>
      <c r="H52" s="7"/>
      <c r="I52" s="8"/>
    </row>
    <row r="53" spans="1:9" ht="19.5" customHeight="1">
      <c r="A53" s="58">
        <v>476</v>
      </c>
      <c r="B53" s="59">
        <v>45598</v>
      </c>
      <c r="C53" s="60" t="s">
        <v>9</v>
      </c>
      <c r="D53" s="60" t="s">
        <v>30</v>
      </c>
      <c r="E53" s="58">
        <v>4</v>
      </c>
      <c r="F53" s="58">
        <v>1</v>
      </c>
      <c r="G53" s="7"/>
      <c r="H53" s="7"/>
      <c r="I53" s="8"/>
    </row>
    <row r="54" spans="1:9" ht="19.5" customHeight="1">
      <c r="A54" s="58">
        <v>1501</v>
      </c>
      <c r="B54" s="59">
        <v>45598</v>
      </c>
      <c r="C54" s="60" t="s">
        <v>9</v>
      </c>
      <c r="D54" s="60" t="s">
        <v>30</v>
      </c>
      <c r="E54" s="58"/>
      <c r="F54" s="58"/>
      <c r="G54" s="7"/>
      <c r="H54" s="7"/>
      <c r="I54" s="8"/>
    </row>
    <row r="55" spans="1:9" ht="19.05" customHeight="1">
      <c r="A55" s="58">
        <v>476</v>
      </c>
      <c r="B55" s="59">
        <v>45598</v>
      </c>
      <c r="C55" s="60" t="s">
        <v>9</v>
      </c>
      <c r="D55" s="60" t="s">
        <v>31</v>
      </c>
      <c r="E55" s="58"/>
      <c r="F55" s="58"/>
      <c r="G55" s="7"/>
      <c r="H55" s="7"/>
      <c r="I55" s="8"/>
    </row>
    <row r="56" spans="1:9" ht="19.05" customHeight="1">
      <c r="A56" s="61">
        <v>451</v>
      </c>
      <c r="B56" s="62">
        <v>45612</v>
      </c>
      <c r="C56" s="63" t="s">
        <v>9</v>
      </c>
      <c r="D56" s="63" t="s">
        <v>34</v>
      </c>
      <c r="E56" s="61">
        <v>3</v>
      </c>
      <c r="F56" s="61">
        <v>1</v>
      </c>
      <c r="G56" s="7"/>
      <c r="H56" s="7"/>
      <c r="I56" s="8"/>
    </row>
    <row r="57" spans="1:9" ht="19.05" customHeight="1">
      <c r="A57" s="61">
        <v>682</v>
      </c>
      <c r="B57" s="62">
        <v>45612</v>
      </c>
      <c r="C57" s="63" t="s">
        <v>9</v>
      </c>
      <c r="D57" s="63" t="s">
        <v>34</v>
      </c>
      <c r="E57" s="61"/>
      <c r="F57" s="61"/>
      <c r="G57" s="7"/>
      <c r="H57" s="7"/>
      <c r="I57" s="8"/>
    </row>
    <row r="58" spans="1:9" ht="19.05" customHeight="1">
      <c r="A58" s="61">
        <v>535</v>
      </c>
      <c r="B58" s="62">
        <v>45612</v>
      </c>
      <c r="C58" s="63" t="s">
        <v>9</v>
      </c>
      <c r="D58" s="63" t="s">
        <v>34</v>
      </c>
      <c r="E58" s="61"/>
      <c r="F58" s="61"/>
      <c r="G58" s="7"/>
      <c r="H58" s="7"/>
      <c r="I58" s="8"/>
    </row>
    <row r="59" spans="1:9" ht="19.05" customHeight="1">
      <c r="A59" s="61">
        <v>641</v>
      </c>
      <c r="B59" s="62">
        <v>45612</v>
      </c>
      <c r="C59" s="63" t="s">
        <v>9</v>
      </c>
      <c r="D59" s="63" t="s">
        <v>35</v>
      </c>
      <c r="E59" s="61"/>
      <c r="F59" s="61"/>
      <c r="G59" s="7"/>
      <c r="H59" s="7"/>
      <c r="I59" s="8"/>
    </row>
    <row r="60" spans="1:9" ht="19.05" customHeight="1">
      <c r="A60" s="64">
        <v>1171</v>
      </c>
      <c r="B60" s="65">
        <v>45618</v>
      </c>
      <c r="C60" s="66" t="s">
        <v>9</v>
      </c>
      <c r="D60" s="66" t="s">
        <v>36</v>
      </c>
      <c r="E60" s="64">
        <v>5</v>
      </c>
      <c r="F60" s="64">
        <v>0</v>
      </c>
      <c r="G60" s="7"/>
      <c r="H60" s="7"/>
      <c r="I60" s="8"/>
    </row>
    <row r="61" spans="1:9" ht="19.05" customHeight="1">
      <c r="A61" s="64">
        <v>1197</v>
      </c>
      <c r="B61" s="65">
        <v>45618</v>
      </c>
      <c r="C61" s="66" t="s">
        <v>9</v>
      </c>
      <c r="D61" s="66" t="s">
        <v>36</v>
      </c>
      <c r="E61" s="64"/>
      <c r="F61" s="64"/>
      <c r="G61" s="7"/>
      <c r="H61" s="7"/>
      <c r="I61" s="8"/>
    </row>
    <row r="62" spans="1:9" ht="19.05" customHeight="1">
      <c r="A62" s="64">
        <v>641</v>
      </c>
      <c r="B62" s="65">
        <v>45618</v>
      </c>
      <c r="C62" s="66" t="s">
        <v>9</v>
      </c>
      <c r="D62" s="66" t="s">
        <v>36</v>
      </c>
      <c r="E62" s="64"/>
      <c r="F62" s="64"/>
      <c r="G62" s="7"/>
      <c r="H62" s="7"/>
      <c r="I62" s="8"/>
    </row>
    <row r="63" spans="1:9" ht="19.05" customHeight="1">
      <c r="A63" s="64">
        <v>641</v>
      </c>
      <c r="B63" s="65">
        <v>45618</v>
      </c>
      <c r="C63" s="66" t="s">
        <v>9</v>
      </c>
      <c r="D63" s="66" t="s">
        <v>37</v>
      </c>
      <c r="E63" s="64"/>
      <c r="F63" s="64"/>
      <c r="G63" s="7"/>
      <c r="H63" s="7"/>
      <c r="I63" s="8"/>
    </row>
    <row r="64" spans="1:9" ht="19.05" customHeight="1">
      <c r="A64" s="67">
        <v>1069</v>
      </c>
      <c r="B64" s="68">
        <v>45626</v>
      </c>
      <c r="C64" s="69" t="s">
        <v>9</v>
      </c>
      <c r="D64" s="70" t="s">
        <v>19</v>
      </c>
      <c r="E64" s="67">
        <v>2</v>
      </c>
      <c r="F64" s="67">
        <v>1</v>
      </c>
      <c r="G64" s="7"/>
      <c r="H64" s="7"/>
      <c r="I64" s="8"/>
    </row>
    <row r="65" spans="1:9" ht="19.05" customHeight="1">
      <c r="A65" s="67">
        <v>1153</v>
      </c>
      <c r="B65" s="68">
        <v>45626</v>
      </c>
      <c r="C65" s="69" t="s">
        <v>9</v>
      </c>
      <c r="D65" s="70" t="s">
        <v>19</v>
      </c>
      <c r="E65" s="67"/>
      <c r="F65" s="67"/>
      <c r="G65" s="7"/>
      <c r="H65" s="7"/>
      <c r="I65" s="8"/>
    </row>
    <row r="66" spans="1:9" ht="19.05" customHeight="1">
      <c r="A66" s="67">
        <v>1111</v>
      </c>
      <c r="B66" s="68">
        <v>45626</v>
      </c>
      <c r="C66" s="69" t="s">
        <v>9</v>
      </c>
      <c r="D66" s="70" t="s">
        <v>20</v>
      </c>
      <c r="E66" s="67"/>
      <c r="F66" s="67"/>
      <c r="G66" s="7"/>
      <c r="H66" s="7"/>
      <c r="I66" s="8"/>
    </row>
    <row r="67" spans="1:9" ht="19.05" customHeight="1">
      <c r="A67" s="71">
        <v>907</v>
      </c>
      <c r="B67" s="72">
        <v>45639</v>
      </c>
      <c r="C67" s="73" t="s">
        <v>9</v>
      </c>
      <c r="D67" s="74" t="s">
        <v>15</v>
      </c>
      <c r="E67" s="71">
        <v>2</v>
      </c>
      <c r="F67" s="71">
        <v>2</v>
      </c>
      <c r="G67" s="7"/>
      <c r="H67" s="7"/>
      <c r="I67" s="8"/>
    </row>
    <row r="68" spans="1:9" ht="19.05" customHeight="1">
      <c r="A68" s="71">
        <v>677</v>
      </c>
      <c r="B68" s="72">
        <v>45639</v>
      </c>
      <c r="C68" s="73" t="s">
        <v>9</v>
      </c>
      <c r="D68" s="74" t="s">
        <v>15</v>
      </c>
      <c r="E68" s="71"/>
      <c r="F68" s="71"/>
      <c r="G68" s="7"/>
      <c r="H68" s="7"/>
      <c r="I68" s="8"/>
    </row>
    <row r="69" spans="1:9" ht="19.05" customHeight="1">
      <c r="A69" s="71">
        <v>907</v>
      </c>
      <c r="B69" s="72">
        <v>45639</v>
      </c>
      <c r="C69" s="73" t="s">
        <v>9</v>
      </c>
      <c r="D69" s="74" t="s">
        <v>15</v>
      </c>
      <c r="E69" s="71"/>
      <c r="F69" s="71"/>
      <c r="G69" s="7"/>
      <c r="H69" s="7"/>
      <c r="I69" s="8"/>
    </row>
    <row r="70" spans="1:9" ht="19.05" customHeight="1">
      <c r="A70" s="75">
        <v>880</v>
      </c>
      <c r="B70" s="76">
        <v>45667</v>
      </c>
      <c r="C70" s="77" t="s">
        <v>9</v>
      </c>
      <c r="D70" s="77" t="s">
        <v>38</v>
      </c>
      <c r="E70" s="75">
        <v>3</v>
      </c>
      <c r="F70" s="75">
        <v>3</v>
      </c>
      <c r="G70" s="7"/>
      <c r="H70" s="7"/>
      <c r="I70" s="8"/>
    </row>
    <row r="71" spans="1:9" ht="19.05" customHeight="1">
      <c r="A71" s="75">
        <v>880</v>
      </c>
      <c r="B71" s="76">
        <v>45667</v>
      </c>
      <c r="C71" s="77" t="s">
        <v>9</v>
      </c>
      <c r="D71" s="77" t="s">
        <v>38</v>
      </c>
      <c r="E71" s="75"/>
      <c r="F71" s="75"/>
      <c r="G71" s="7"/>
      <c r="H71" s="7"/>
      <c r="I71" s="8"/>
    </row>
    <row r="72" spans="1:9" ht="19.05" customHeight="1">
      <c r="A72" s="75">
        <v>880</v>
      </c>
      <c r="B72" s="76">
        <v>45667</v>
      </c>
      <c r="C72" s="77" t="s">
        <v>9</v>
      </c>
      <c r="D72" s="77" t="s">
        <v>38</v>
      </c>
      <c r="E72" s="75"/>
      <c r="F72" s="75"/>
      <c r="G72" s="7"/>
      <c r="H72" s="7"/>
      <c r="I72" s="8"/>
    </row>
    <row r="73" spans="1:9" ht="19.05" customHeight="1">
      <c r="A73" s="75">
        <v>758.7</v>
      </c>
      <c r="B73" s="76">
        <v>45667</v>
      </c>
      <c r="C73" s="77" t="s">
        <v>9</v>
      </c>
      <c r="D73" s="77" t="s">
        <v>39</v>
      </c>
      <c r="E73" s="75"/>
      <c r="F73" s="75"/>
      <c r="G73" s="7"/>
      <c r="H73" s="7"/>
      <c r="I73" s="8"/>
    </row>
    <row r="74" spans="1:9" ht="19.05" customHeight="1">
      <c r="A74" s="78">
        <v>880</v>
      </c>
      <c r="B74" s="79">
        <v>45673</v>
      </c>
      <c r="C74" s="80" t="s">
        <v>28</v>
      </c>
      <c r="D74" s="80" t="s">
        <v>41</v>
      </c>
      <c r="E74" s="78">
        <v>1</v>
      </c>
      <c r="F74" s="78">
        <v>0</v>
      </c>
      <c r="G74" s="7"/>
      <c r="H74" s="7"/>
      <c r="I74" s="8"/>
    </row>
    <row r="75" spans="1:9" s="15" customFormat="1" ht="19.05" customHeight="1">
      <c r="A75" s="81">
        <v>880</v>
      </c>
      <c r="B75" s="82">
        <v>45676</v>
      </c>
      <c r="C75" s="83" t="s">
        <v>9</v>
      </c>
      <c r="D75" s="83" t="s">
        <v>40</v>
      </c>
      <c r="E75" s="81">
        <v>3</v>
      </c>
      <c r="F75" s="81">
        <v>1</v>
      </c>
      <c r="G75" s="13"/>
      <c r="H75" s="13"/>
      <c r="I75" s="14"/>
    </row>
    <row r="76" spans="1:9" s="15" customFormat="1" ht="19.05" customHeight="1">
      <c r="A76" s="81">
        <v>880</v>
      </c>
      <c r="B76" s="82">
        <v>45676</v>
      </c>
      <c r="C76" s="83" t="s">
        <v>9</v>
      </c>
      <c r="D76" s="83" t="s">
        <v>40</v>
      </c>
      <c r="E76" s="81"/>
      <c r="F76" s="81"/>
      <c r="G76" s="13"/>
      <c r="H76" s="13"/>
      <c r="I76" s="14"/>
    </row>
    <row r="77" spans="1:9" s="15" customFormat="1" ht="19.05" customHeight="1">
      <c r="A77" s="81">
        <v>801</v>
      </c>
      <c r="B77" s="82">
        <v>45676</v>
      </c>
      <c r="C77" s="83" t="s">
        <v>9</v>
      </c>
      <c r="D77" s="83" t="s">
        <v>40</v>
      </c>
      <c r="E77" s="81"/>
      <c r="F77" s="81"/>
      <c r="G77" s="13"/>
      <c r="H77" s="13"/>
      <c r="I77" s="14"/>
    </row>
    <row r="78" spans="1:9" s="15" customFormat="1" ht="19.05" customHeight="1">
      <c r="A78" s="81">
        <v>879</v>
      </c>
      <c r="B78" s="82">
        <v>45676</v>
      </c>
      <c r="C78" s="83" t="s">
        <v>9</v>
      </c>
      <c r="D78" s="83" t="s">
        <v>42</v>
      </c>
      <c r="E78" s="81"/>
      <c r="F78" s="81"/>
      <c r="G78" s="13"/>
      <c r="H78" s="13"/>
      <c r="I78" s="14"/>
    </row>
    <row r="79" spans="1:9" ht="19.05" customHeight="1">
      <c r="A79" s="61">
        <v>464</v>
      </c>
      <c r="B79" s="62">
        <v>45724</v>
      </c>
      <c r="C79" s="84" t="s">
        <v>44</v>
      </c>
      <c r="D79" s="63" t="s">
        <v>43</v>
      </c>
      <c r="E79" s="61">
        <v>3</v>
      </c>
      <c r="F79" s="61">
        <v>2</v>
      </c>
      <c r="G79" s="7"/>
      <c r="H79" s="7"/>
      <c r="I79" s="8"/>
    </row>
    <row r="80" spans="1:9" ht="19.05" customHeight="1">
      <c r="A80" s="61">
        <v>598</v>
      </c>
      <c r="B80" s="62">
        <v>45724</v>
      </c>
      <c r="C80" s="84" t="s">
        <v>44</v>
      </c>
      <c r="D80" s="63" t="s">
        <v>43</v>
      </c>
      <c r="E80" s="61"/>
      <c r="F80" s="61"/>
      <c r="G80" s="7"/>
      <c r="H80" s="7"/>
      <c r="I80" s="8"/>
    </row>
    <row r="81" spans="1:9" ht="19.05" customHeight="1">
      <c r="A81" s="61">
        <f>598*0.9</f>
        <v>538.20000000000005</v>
      </c>
      <c r="B81" s="62">
        <v>45724</v>
      </c>
      <c r="C81" s="84" t="s">
        <v>44</v>
      </c>
      <c r="D81" s="63" t="s">
        <v>45</v>
      </c>
      <c r="E81" s="61"/>
      <c r="F81" s="61"/>
      <c r="G81" s="7"/>
      <c r="H81" s="7"/>
      <c r="I81" s="8"/>
    </row>
    <row r="82" spans="1:9">
      <c r="A82" s="85">
        <v>893</v>
      </c>
      <c r="B82" s="86">
        <v>45731</v>
      </c>
      <c r="C82" s="87" t="s">
        <v>9</v>
      </c>
      <c r="D82" s="87" t="s">
        <v>46</v>
      </c>
      <c r="E82" s="85">
        <v>2</v>
      </c>
      <c r="F82" s="85">
        <v>2</v>
      </c>
    </row>
    <row r="83" spans="1:9">
      <c r="A83" s="91">
        <v>566</v>
      </c>
      <c r="B83" s="92">
        <v>45741</v>
      </c>
      <c r="C83" s="93" t="s">
        <v>9</v>
      </c>
      <c r="D83" s="93" t="s">
        <v>47</v>
      </c>
      <c r="E83" s="91">
        <v>3</v>
      </c>
      <c r="F83" s="91">
        <v>2</v>
      </c>
    </row>
    <row r="84" spans="1:9">
      <c r="A84" s="91">
        <v>412</v>
      </c>
      <c r="B84" s="92">
        <v>45741</v>
      </c>
      <c r="C84" s="93" t="s">
        <v>9</v>
      </c>
      <c r="D84" s="93" t="s">
        <v>47</v>
      </c>
      <c r="E84" s="91"/>
      <c r="F84" s="91"/>
    </row>
    <row r="85" spans="1:9">
      <c r="A85" s="91">
        <v>473</v>
      </c>
      <c r="B85" s="92">
        <v>45741</v>
      </c>
      <c r="C85" s="93" t="s">
        <v>9</v>
      </c>
      <c r="D85" s="93" t="s">
        <v>48</v>
      </c>
      <c r="E85" s="91"/>
      <c r="F85" s="91"/>
    </row>
    <row r="86" spans="1:9">
      <c r="A86" s="94">
        <v>477</v>
      </c>
      <c r="B86" s="95">
        <v>45780</v>
      </c>
      <c r="C86" s="96" t="s">
        <v>9</v>
      </c>
      <c r="D86" s="96" t="s">
        <v>49</v>
      </c>
      <c r="E86" s="94">
        <v>2</v>
      </c>
      <c r="F86" s="94">
        <v>2</v>
      </c>
    </row>
    <row r="87" spans="1:9">
      <c r="A87" s="94">
        <v>684</v>
      </c>
      <c r="B87" s="95">
        <v>45780</v>
      </c>
      <c r="C87" s="96" t="s">
        <v>9</v>
      </c>
      <c r="D87" s="96" t="s">
        <v>49</v>
      </c>
      <c r="E87" s="94"/>
      <c r="F87" s="94"/>
    </row>
    <row r="88" spans="1:9">
      <c r="A88" s="94">
        <v>481</v>
      </c>
      <c r="B88" s="95">
        <v>45780</v>
      </c>
      <c r="C88" s="96" t="s">
        <v>9</v>
      </c>
      <c r="D88" s="96" t="s">
        <v>50</v>
      </c>
      <c r="E88" s="94"/>
      <c r="F88" s="94"/>
    </row>
    <row r="89" spans="1:9">
      <c r="A89" s="88">
        <v>528</v>
      </c>
      <c r="B89" s="89">
        <v>45816</v>
      </c>
      <c r="C89" s="90" t="s">
        <v>9</v>
      </c>
      <c r="D89" s="90" t="s">
        <v>19</v>
      </c>
      <c r="E89" s="88">
        <v>2</v>
      </c>
      <c r="F89" s="88">
        <v>3</v>
      </c>
    </row>
    <row r="90" spans="1:9">
      <c r="A90" s="88">
        <v>329</v>
      </c>
      <c r="B90" s="89">
        <v>45816</v>
      </c>
      <c r="C90" s="90" t="s">
        <v>9</v>
      </c>
      <c r="D90" s="90" t="s">
        <v>19</v>
      </c>
      <c r="E90" s="88"/>
      <c r="F90" s="88"/>
    </row>
    <row r="91" spans="1:9">
      <c r="A91" s="88">
        <v>421</v>
      </c>
      <c r="B91" s="89">
        <v>45816</v>
      </c>
      <c r="C91" s="90" t="s">
        <v>9</v>
      </c>
      <c r="D91" s="90" t="s">
        <v>20</v>
      </c>
      <c r="E91" s="88"/>
      <c r="F91" s="88"/>
    </row>
    <row r="92" spans="1:9">
      <c r="A92" s="97">
        <v>557</v>
      </c>
      <c r="B92" s="98">
        <v>45829</v>
      </c>
      <c r="C92" s="63" t="s">
        <v>9</v>
      </c>
      <c r="D92" s="63" t="s">
        <v>51</v>
      </c>
      <c r="E92" s="97">
        <v>2</v>
      </c>
      <c r="F92" s="97">
        <v>1</v>
      </c>
    </row>
    <row r="93" spans="1:9">
      <c r="A93" s="97">
        <v>419</v>
      </c>
      <c r="B93" s="98">
        <v>45829</v>
      </c>
      <c r="C93" s="63" t="s">
        <v>9</v>
      </c>
      <c r="D93" s="63" t="s">
        <v>51</v>
      </c>
      <c r="E93" s="97"/>
      <c r="F93" s="97"/>
    </row>
    <row r="94" spans="1:9">
      <c r="A94" s="97">
        <v>515</v>
      </c>
      <c r="B94" s="98">
        <v>45829</v>
      </c>
      <c r="C94" s="63" t="s">
        <v>9</v>
      </c>
      <c r="D94" s="63" t="s">
        <v>52</v>
      </c>
      <c r="E94" s="97"/>
      <c r="F94" s="97"/>
    </row>
    <row r="95" spans="1:9">
      <c r="A95" s="94">
        <v>557</v>
      </c>
      <c r="B95" s="95">
        <v>45835</v>
      </c>
      <c r="C95" s="96" t="s">
        <v>9</v>
      </c>
      <c r="D95" s="96" t="s">
        <v>53</v>
      </c>
      <c r="E95" s="94">
        <v>2</v>
      </c>
      <c r="F95" s="94">
        <v>3</v>
      </c>
    </row>
    <row r="96" spans="1:9">
      <c r="A96" s="94">
        <v>419</v>
      </c>
      <c r="B96" s="95">
        <v>45835</v>
      </c>
      <c r="C96" s="96" t="s">
        <v>9</v>
      </c>
      <c r="D96" s="96" t="s">
        <v>53</v>
      </c>
      <c r="E96" s="94"/>
      <c r="F96" s="94"/>
    </row>
    <row r="97" spans="1:6">
      <c r="A97" s="94">
        <v>516</v>
      </c>
      <c r="B97" s="95">
        <v>45835</v>
      </c>
      <c r="C97" s="96" t="s">
        <v>9</v>
      </c>
      <c r="D97" s="96" t="s">
        <v>54</v>
      </c>
      <c r="E97" s="94"/>
      <c r="F97" s="94"/>
    </row>
    <row r="98" spans="1:6">
      <c r="A98" s="85">
        <v>476</v>
      </c>
      <c r="B98" s="86">
        <v>45843</v>
      </c>
      <c r="C98" s="87" t="s">
        <v>9</v>
      </c>
      <c r="D98" s="87" t="s">
        <v>55</v>
      </c>
      <c r="E98" s="85">
        <v>2</v>
      </c>
      <c r="F98" s="85">
        <v>2</v>
      </c>
    </row>
    <row r="99" spans="1:6">
      <c r="A99" s="85">
        <v>416</v>
      </c>
      <c r="B99" s="86">
        <v>45843</v>
      </c>
      <c r="C99" s="87" t="s">
        <v>9</v>
      </c>
      <c r="D99" s="87" t="s">
        <v>56</v>
      </c>
      <c r="E99" s="85"/>
      <c r="F99" s="85"/>
    </row>
    <row r="100" spans="1:6">
      <c r="A100" s="85">
        <v>416</v>
      </c>
      <c r="B100" s="86">
        <v>45843</v>
      </c>
      <c r="C100" s="87" t="s">
        <v>9</v>
      </c>
      <c r="D100" s="87" t="s">
        <v>56</v>
      </c>
      <c r="E100" s="85"/>
      <c r="F100" s="85"/>
    </row>
    <row r="101" spans="1:6">
      <c r="A101" s="99">
        <v>476</v>
      </c>
      <c r="B101" s="100">
        <v>45847</v>
      </c>
      <c r="C101" s="101" t="s">
        <v>17</v>
      </c>
      <c r="D101" s="101" t="s">
        <v>57</v>
      </c>
      <c r="E101" s="99">
        <v>1</v>
      </c>
      <c r="F101" s="99">
        <v>0</v>
      </c>
    </row>
    <row r="102" spans="1:6">
      <c r="A102" s="102">
        <v>452</v>
      </c>
      <c r="B102" s="103">
        <v>45899</v>
      </c>
      <c r="C102" s="104" t="s">
        <v>9</v>
      </c>
      <c r="D102" s="104" t="s">
        <v>25</v>
      </c>
      <c r="E102" s="102">
        <v>3</v>
      </c>
      <c r="F102" s="102">
        <v>2</v>
      </c>
    </row>
    <row r="103" spans="1:6">
      <c r="A103" s="105">
        <v>452</v>
      </c>
      <c r="B103" s="106">
        <v>45899</v>
      </c>
      <c r="C103" s="107" t="s">
        <v>9</v>
      </c>
      <c r="D103" s="107" t="s">
        <v>25</v>
      </c>
      <c r="E103" s="105"/>
      <c r="F103" s="105"/>
    </row>
    <row r="104" spans="1:6">
      <c r="A104" s="105">
        <v>384</v>
      </c>
      <c r="B104" s="106">
        <v>45899</v>
      </c>
      <c r="C104" s="107" t="s">
        <v>9</v>
      </c>
      <c r="D104" s="107" t="s">
        <v>26</v>
      </c>
      <c r="E104" s="105"/>
      <c r="F104" s="105"/>
    </row>
    <row r="105" spans="1:6">
      <c r="A105" s="108">
        <v>444</v>
      </c>
      <c r="B105" s="109">
        <v>45914</v>
      </c>
      <c r="C105" s="69" t="s">
        <v>9</v>
      </c>
      <c r="D105" s="70" t="s">
        <v>58</v>
      </c>
      <c r="E105" s="108">
        <v>2</v>
      </c>
      <c r="F105" s="108">
        <v>2</v>
      </c>
    </row>
    <row r="106" spans="1:6">
      <c r="A106" s="108">
        <v>444</v>
      </c>
      <c r="B106" s="109">
        <v>45914</v>
      </c>
      <c r="C106" s="69" t="s">
        <v>9</v>
      </c>
      <c r="D106" s="70" t="s">
        <v>58</v>
      </c>
      <c r="E106" s="108"/>
      <c r="F106" s="108"/>
    </row>
    <row r="107" spans="1:6">
      <c r="A107" s="108">
        <v>444</v>
      </c>
      <c r="B107" s="109">
        <v>45914</v>
      </c>
      <c r="C107" s="69" t="s">
        <v>9</v>
      </c>
      <c r="D107" s="70" t="s">
        <v>59</v>
      </c>
      <c r="E107" s="108"/>
      <c r="F107" s="108"/>
    </row>
    <row r="108" spans="1:6">
      <c r="A108" s="85">
        <v>439</v>
      </c>
      <c r="B108" s="86">
        <v>45942</v>
      </c>
      <c r="C108" s="110" t="s">
        <v>9</v>
      </c>
      <c r="D108" s="87" t="s">
        <v>58</v>
      </c>
      <c r="E108" s="85">
        <v>2</v>
      </c>
      <c r="F108" s="85">
        <v>2</v>
      </c>
    </row>
    <row r="109" spans="1:6">
      <c r="A109" s="85">
        <v>439</v>
      </c>
      <c r="B109" s="86">
        <v>45942</v>
      </c>
      <c r="C109" s="110" t="s">
        <v>9</v>
      </c>
      <c r="D109" s="87" t="s">
        <v>58</v>
      </c>
      <c r="E109" s="85"/>
      <c r="F109" s="85"/>
    </row>
    <row r="110" spans="1:6">
      <c r="A110" s="85">
        <v>485</v>
      </c>
      <c r="B110" s="86">
        <v>45942</v>
      </c>
      <c r="C110" s="110" t="s">
        <v>9</v>
      </c>
      <c r="D110" s="87" t="s">
        <v>59</v>
      </c>
      <c r="E110" s="85"/>
      <c r="F110" s="85"/>
    </row>
    <row r="111" spans="1:6">
      <c r="A111" s="111">
        <v>346</v>
      </c>
      <c r="B111" s="112">
        <v>45972</v>
      </c>
      <c r="C111" s="113" t="s">
        <v>9</v>
      </c>
      <c r="D111" s="113" t="s">
        <v>60</v>
      </c>
      <c r="E111" s="111">
        <v>3</v>
      </c>
      <c r="F111" s="111">
        <v>1</v>
      </c>
    </row>
    <row r="112" spans="1:6">
      <c r="A112" s="111">
        <v>368</v>
      </c>
      <c r="B112" s="112">
        <v>45972</v>
      </c>
      <c r="C112" s="113" t="s">
        <v>9</v>
      </c>
      <c r="D112" s="113" t="s">
        <v>60</v>
      </c>
      <c r="E112" s="111"/>
      <c r="F112" s="111"/>
    </row>
    <row r="113" spans="1:6">
      <c r="A113" s="111">
        <v>368</v>
      </c>
      <c r="B113" s="112">
        <v>45972</v>
      </c>
      <c r="C113" s="113" t="s">
        <v>9</v>
      </c>
      <c r="D113" s="113" t="s">
        <v>61</v>
      </c>
      <c r="E113" s="111"/>
      <c r="F113" s="111"/>
    </row>
    <row r="114" spans="1:6">
      <c r="A114" s="115">
        <v>215</v>
      </c>
      <c r="B114" s="116">
        <v>45990</v>
      </c>
      <c r="C114" s="114" t="s">
        <v>9</v>
      </c>
      <c r="D114" s="114" t="s">
        <v>19</v>
      </c>
      <c r="E114" s="115">
        <v>1</v>
      </c>
      <c r="F114" s="115">
        <v>2</v>
      </c>
    </row>
    <row r="115" spans="1:6">
      <c r="A115" s="115">
        <v>429</v>
      </c>
      <c r="B115" s="116">
        <v>45990</v>
      </c>
      <c r="C115" s="114" t="s">
        <v>9</v>
      </c>
      <c r="D115" s="114" t="s">
        <v>20</v>
      </c>
      <c r="E115" s="115"/>
      <c r="F115" s="115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Actions Simon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Simon ZARKA-ARTHUS</cp:lastModifiedBy>
  <dcterms:created xsi:type="dcterms:W3CDTF">2024-10-21T19:31:17Z</dcterms:created>
  <dcterms:modified xsi:type="dcterms:W3CDTF">2025-12-03T22:27:31Z</dcterms:modified>
</cp:coreProperties>
</file>